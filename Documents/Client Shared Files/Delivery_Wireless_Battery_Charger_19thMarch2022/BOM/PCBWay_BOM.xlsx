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DarkTag-PCBReview\Documents\Client Shared Files\Delivery_Wireless_Battery_Charger_19thMarch2022\BOM\"/>
    </mc:Choice>
  </mc:AlternateContent>
  <xr:revisionPtr revIDLastSave="0" documentId="13_ncr:1_{188D623E-6C44-4FE8-B1C8-C9E048DD4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8" i="1" l="1"/>
  <c r="B39" i="1"/>
  <c r="B40" i="1"/>
  <c r="B41" i="1"/>
  <c r="B42" i="1"/>
  <c r="B33" i="1"/>
  <c r="B34" i="1"/>
  <c r="B35" i="1"/>
  <c r="B36" i="1"/>
  <c r="B37" i="1"/>
  <c r="B23" i="1"/>
  <c r="B24" i="1"/>
  <c r="B25" i="1"/>
  <c r="B26" i="1"/>
  <c r="B27" i="1"/>
  <c r="B28" i="1"/>
  <c r="B29" i="1"/>
  <c r="B30" i="1"/>
  <c r="B31" i="1"/>
  <c r="B32" i="1"/>
  <c r="B11" i="1"/>
  <c r="B12" i="1"/>
  <c r="B13" i="1"/>
  <c r="B14" i="1"/>
  <c r="B15" i="1"/>
  <c r="B16" i="1"/>
  <c r="B17" i="1"/>
  <c r="B18" i="1"/>
  <c r="B19" i="1"/>
  <c r="B20" i="1"/>
  <c r="B21" i="1"/>
  <c r="B22" i="1"/>
  <c r="B10" i="1"/>
</calcChain>
</file>

<file path=xl/sharedStrings.xml><?xml version="1.0" encoding="utf-8"?>
<sst xmlns="http://schemas.openxmlformats.org/spreadsheetml/2006/main" count="242" uniqueCount="168">
  <si>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</si>
  <si>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</si>
  <si>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</si>
  <si>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</si>
  <si>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</si>
  <si>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</si>
  <si>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</si>
  <si>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[Electrode_Board.PrjPcb] (No PCB Document Selected)</t>
  </si>
  <si>
    <t>Electrode_Board.PrjPcb</t>
  </si>
  <si>
    <t>None</t>
  </si>
  <si>
    <t>Designator</t>
  </si>
  <si>
    <t>C1</t>
  </si>
  <si>
    <t>C2</t>
  </si>
  <si>
    <t>C4</t>
  </si>
  <si>
    <t>P1</t>
  </si>
  <si>
    <t>R10</t>
  </si>
  <si>
    <t>U1</t>
  </si>
  <si>
    <t>Description</t>
  </si>
  <si>
    <t>Footprint</t>
  </si>
  <si>
    <t>Manufacturer Part Number</t>
  </si>
  <si>
    <t>Manufacturer</t>
  </si>
  <si>
    <t>Bourns</t>
  </si>
  <si>
    <t>1uF</t>
  </si>
  <si>
    <t>1K</t>
  </si>
  <si>
    <t>-------</t>
  </si>
  <si>
    <t>--------</t>
  </si>
  <si>
    <t>Remarks</t>
  </si>
  <si>
    <t>Quantity (1 Board)</t>
  </si>
  <si>
    <t>Item Type</t>
  </si>
  <si>
    <t>Capacitor</t>
  </si>
  <si>
    <t>Diode</t>
  </si>
  <si>
    <t>Resistor</t>
  </si>
  <si>
    <t>Ics</t>
  </si>
  <si>
    <t>C3, C5, C21, C28</t>
  </si>
  <si>
    <t>C6, C18</t>
  </si>
  <si>
    <t>C7, C13</t>
  </si>
  <si>
    <t>C8, C12, C16</t>
  </si>
  <si>
    <t>C9</t>
  </si>
  <si>
    <t>C10, C17</t>
  </si>
  <si>
    <t>C11</t>
  </si>
  <si>
    <t>C15</t>
  </si>
  <si>
    <t>C19, C20</t>
  </si>
  <si>
    <t>D2, D3</t>
  </si>
  <si>
    <t>J1</t>
  </si>
  <si>
    <t>L1</t>
  </si>
  <si>
    <t>L5</t>
  </si>
  <si>
    <t>LED1, LED2</t>
  </si>
  <si>
    <t>P2</t>
  </si>
  <si>
    <t>P3, P4</t>
  </si>
  <si>
    <t>R1, R2</t>
  </si>
  <si>
    <t>R3, R5, R6, R7, R9, R11, R14</t>
  </si>
  <si>
    <t>R4</t>
  </si>
  <si>
    <t>R8</t>
  </si>
  <si>
    <t>R12</t>
  </si>
  <si>
    <t>R13</t>
  </si>
  <si>
    <t>R15</t>
  </si>
  <si>
    <t>R17, R18, R19, R20, R21, R23, R24, R25, R26, R27</t>
  </si>
  <si>
    <t>R30</t>
  </si>
  <si>
    <t>U5</t>
  </si>
  <si>
    <t>U9</t>
  </si>
  <si>
    <t xml:space="preserve">CAP CER 1UF 25V X7R 0805
</t>
  </si>
  <si>
    <t>0805-CAP</t>
  </si>
  <si>
    <t>0402-A</t>
  </si>
  <si>
    <t>USB-C-SMD_TYPE-C-USB-13</t>
  </si>
  <si>
    <t>IND-SMD_L4.1-W3.2</t>
  </si>
  <si>
    <t>IND_BOURNS_SRN50</t>
  </si>
  <si>
    <t>1608[0603]_LED</t>
  </si>
  <si>
    <t>HDR1X2</t>
  </si>
  <si>
    <t>HDR1X10</t>
  </si>
  <si>
    <t>1608[0603]</t>
  </si>
  <si>
    <t>MSOP8_MC_MCH</t>
  </si>
  <si>
    <t>Murata Electronics</t>
  </si>
  <si>
    <t>GCM21BR71E105KA56L</t>
  </si>
  <si>
    <t>Value</t>
  </si>
  <si>
    <t xml:space="preserve">CAP CER 0.047UF 25V X7R 0805
</t>
  </si>
  <si>
    <t xml:space="preserve"> 
YAGEO</t>
  </si>
  <si>
    <t>CC0805KRX7R8BB473</t>
  </si>
  <si>
    <t>47nF/25V</t>
  </si>
  <si>
    <t>10uF/25V</t>
  </si>
  <si>
    <t>1uF/25V</t>
  </si>
  <si>
    <t>22nF/25V</t>
  </si>
  <si>
    <t>0.1uF/16V</t>
  </si>
  <si>
    <t>10uF/16V</t>
  </si>
  <si>
    <t>4.7uF/10V</t>
  </si>
  <si>
    <t>10nF/25V</t>
  </si>
  <si>
    <t>0.25uF/25V</t>
  </si>
  <si>
    <t>2.5nF/25V</t>
  </si>
  <si>
    <t>0.47uF/25V</t>
  </si>
  <si>
    <t xml:space="preserve">CAP CER 10UF 25V X5R 0805
</t>
  </si>
  <si>
    <t>TMK212BBJ106KGHT</t>
  </si>
  <si>
    <t xml:space="preserve"> 
Taiyo Yuden</t>
  </si>
  <si>
    <t xml:space="preserve">CAP CER 0.022UF 25V X7R 0402
</t>
  </si>
  <si>
    <t>GCM155R71E223KA55J</t>
  </si>
  <si>
    <t xml:space="preserve">CAP CER 0.1UF 16V X7R 0402
</t>
  </si>
  <si>
    <t>GCM155R71C104KA55D</t>
  </si>
  <si>
    <t xml:space="preserve">CAP CER 10UF 16V X5R 0805
</t>
  </si>
  <si>
    <t>CL21A106KOQNNNE</t>
  </si>
  <si>
    <t xml:space="preserve"> 
Samsung Electro-Mechanics</t>
  </si>
  <si>
    <t xml:space="preserve">CAP CER 4.7UF 10V X5R 0805
</t>
  </si>
  <si>
    <t>CL21A475KPFNNNE</t>
  </si>
  <si>
    <t xml:space="preserve">CAP CER 10000PF 25V X7R 0402
</t>
  </si>
  <si>
    <t>GRM155R71E103KA01D</t>
  </si>
  <si>
    <t xml:space="preserve">CAP CER 0.47UF 25V X5R 0402
</t>
  </si>
  <si>
    <t>CL05A474KA5NNNC</t>
  </si>
  <si>
    <t xml:space="preserve">DIODE SCHOTTKY 5A 60V SMA
</t>
  </si>
  <si>
    <t xml:space="preserve">SK56A-LTP
</t>
  </si>
  <si>
    <t xml:space="preserve"> 
Micro Commercial Co</t>
  </si>
  <si>
    <t xml:space="preserve">Footprint ghalat mention ha BOM me Package </t>
  </si>
  <si>
    <t xml:space="preserve">Fixed Inductors 4.7uH 20% SMD 5020
</t>
  </si>
  <si>
    <t xml:space="preserve">SRN5020-4R7M
</t>
  </si>
  <si>
    <t>4.7uH</t>
  </si>
  <si>
    <t xml:space="preserve">Connector Header Through Hole 2 position 0.100" (2.54mm)
</t>
  </si>
  <si>
    <t xml:space="preserve"> 
Würth Elektronik</t>
  </si>
  <si>
    <t xml:space="preserve">CONN HEADER VERT 10POS 2.54MM
</t>
  </si>
  <si>
    <t xml:space="preserve">M20-9991045
</t>
  </si>
  <si>
    <t xml:space="preserve"> 
Harwin Inc.</t>
  </si>
  <si>
    <t>5.1k</t>
  </si>
  <si>
    <t>10k</t>
  </si>
  <si>
    <t>20K</t>
  </si>
  <si>
    <t>158R</t>
  </si>
  <si>
    <t>221R</t>
  </si>
  <si>
    <t>66R</t>
  </si>
  <si>
    <t>196R</t>
  </si>
  <si>
    <t>2.21K</t>
  </si>
  <si>
    <t>1M Ohm</t>
  </si>
  <si>
    <t xml:space="preserve">RES 5.1K OHM 5% 1/10W 0603
</t>
  </si>
  <si>
    <t>Inductor</t>
  </si>
  <si>
    <t>LED</t>
  </si>
  <si>
    <t>Connector</t>
  </si>
  <si>
    <t>RMCF0603JT5K10</t>
  </si>
  <si>
    <t xml:space="preserve">RES SMD 10K OHM 5% 1/16W 0402
</t>
  </si>
  <si>
    <t xml:space="preserve">RC0402JR-0710KP
</t>
  </si>
  <si>
    <t xml:space="preserve">RMCF0402JT20K0
</t>
  </si>
  <si>
    <t xml:space="preserve">RES 20K OHM 5% 1/16W 0402
</t>
  </si>
  <si>
    <t xml:space="preserve"> 
Stackpole Electronics Inc</t>
  </si>
  <si>
    <t xml:space="preserve">RES 158 OHM 1% 1/16W 0402
</t>
  </si>
  <si>
    <t xml:space="preserve">RC0402FR-07158RL
</t>
  </si>
  <si>
    <t xml:space="preserve">RES 221 OHM 1% 1/16W 0402
</t>
  </si>
  <si>
    <t xml:space="preserve">RC0402FR-07221RL
</t>
  </si>
  <si>
    <t xml:space="preserve">RES 196 OHM 1% 1/16W 0402
</t>
  </si>
  <si>
    <t xml:space="preserve">RC0402FR-07196RL
</t>
  </si>
  <si>
    <t xml:space="preserve">RES SMD 1K OHM 1% 1/16W 0402
</t>
  </si>
  <si>
    <t xml:space="preserve">AF0402FR-071KL
</t>
  </si>
  <si>
    <t xml:space="preserve">RES SMD 2.21KOHM 0.1% 1/16W 0402
</t>
  </si>
  <si>
    <t>AT0402BRD072K21L</t>
  </si>
  <si>
    <t xml:space="preserve">AF0402FR-071ML
</t>
  </si>
  <si>
    <t xml:space="preserve">RES SMD 1M OHM 1% 1/16W 0402
</t>
  </si>
  <si>
    <t xml:space="preserve">IC BATT CHG LI-ION 1CELL 24WQFN
</t>
  </si>
  <si>
    <t xml:space="preserve">BQ25616JRTWR
</t>
  </si>
  <si>
    <t xml:space="preserve"> 
Texas Instruments</t>
  </si>
  <si>
    <t xml:space="preserve">IC LED DRV RGLTR PWM 550MA 8MSOP
</t>
  </si>
  <si>
    <t xml:space="preserve">MCP1643T-I/MS
</t>
  </si>
  <si>
    <t xml:space="preserve"> 
Microchip Technology</t>
  </si>
  <si>
    <t xml:space="preserve">IC WIRELESS PWR RCVR 20QFN
</t>
  </si>
  <si>
    <t>BQ51013BRHLR</t>
  </si>
  <si>
    <t>NON Stock LCSC and Digikey Also</t>
  </si>
  <si>
    <t xml:space="preserve">LED GREEN DIFFUSED 0603 SMD
</t>
  </si>
  <si>
    <t xml:space="preserve">LT Q39E-Q1OO-25-1
</t>
  </si>
  <si>
    <t xml:space="preserve"> 
OSRAM Opto Semiconductors Inc.</t>
  </si>
  <si>
    <t xml:space="preserve">FIXED IND 1UH 3.44A 32 MOHM SMD
</t>
  </si>
  <si>
    <t xml:space="preserve">VLF403210MT-1R0N-CA
</t>
  </si>
  <si>
    <t xml:space="preserve"> 
TDK Corporation</t>
  </si>
  <si>
    <t>1uH</t>
  </si>
  <si>
    <t xml:space="preserve">This Value part NOT Available </t>
  </si>
  <si>
    <t>Alternate Part Added</t>
  </si>
  <si>
    <t>SMA</t>
  </si>
  <si>
    <t>24WQFN</t>
  </si>
  <si>
    <t>20QFN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</si>
</sst>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0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6" fillId="3" borderId="12" xfId="0" applyFont="1" applyFill="1" applyBorder="1" applyAlignment="1">
      <alignment vertical="center"/>
    </xf>
    <xf numFmtId="0" fontId="11" fillId="3" borderId="18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1" fillId="4" borderId="16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5" xfId="0" quotePrefix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 wrapText="1"/>
    </xf>
    <xf numFmtId="0" fontId="17" fillId="2" borderId="15" xfId="0" quotePrefix="1" applyFont="1" applyFill="1" applyBorder="1" applyAlignment="1">
      <alignment horizontal="center" vertical="center"/>
    </xf>
    <xf numFmtId="0" fontId="0" fillId="3" borderId="2" xfId="0" applyFont="1" applyFill="1" applyBorder="1"/>
    <xf numFmtId="0" fontId="17" fillId="4" borderId="15" xfId="0" quotePrefix="1" applyFont="1" applyFill="1" applyBorder="1" applyAlignment="1">
      <alignment horizontal="center" vertical="center"/>
    </xf>
    <xf numFmtId="0" fontId="11" fillId="4" borderId="15" xfId="0" quotePrefix="1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/>
    </xf>
    <xf numFmtId="0" fontId="17" fillId="0" borderId="16" xfId="0" quotePrefix="1" applyFont="1" applyBorder="1"/>
    <xf numFmtId="0" fontId="17" fillId="4" borderId="16" xfId="0" quotePrefix="1" applyFont="1" applyFill="1" applyBorder="1"/>
    <xf numFmtId="0" fontId="17" fillId="0" borderId="17" xfId="0" quotePrefix="1" applyFont="1" applyBorder="1"/>
    <xf numFmtId="0" fontId="17" fillId="0" borderId="16" xfId="0" quotePrefix="1" applyFont="1" applyBorder="1" applyAlignment="1"/>
    <xf numFmtId="0" fontId="17" fillId="4" borderId="16" xfId="0" quotePrefix="1" applyFont="1" applyFill="1" applyBorder="1" applyAlignment="1"/>
    <xf numFmtId="0" fontId="17" fillId="0" borderId="17" xfId="0" quotePrefix="1" applyFont="1" applyBorder="1" applyAlignment="1"/>
    <xf numFmtId="0" fontId="17" fillId="0" borderId="6" xfId="0" quotePrefix="1" applyFont="1" applyBorder="1" applyAlignment="1">
      <alignment horizontal="center" vertical="center"/>
    </xf>
    <xf numFmtId="0" fontId="17" fillId="4" borderId="6" xfId="0" quotePrefix="1" applyFont="1" applyFill="1" applyBorder="1" applyAlignment="1">
      <alignment horizontal="center" vertical="center"/>
    </xf>
    <xf numFmtId="0" fontId="17" fillId="4" borderId="15" xfId="0" quotePrefix="1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center" vertical="center"/>
    </xf>
    <xf numFmtId="0" fontId="17" fillId="4" borderId="16" xfId="0" quotePrefix="1" applyFont="1" applyFill="1" applyBorder="1" applyAlignment="1">
      <alignment horizontal="center" vertical="center"/>
    </xf>
    <xf numFmtId="0" fontId="19" fillId="4" borderId="16" xfId="0" quotePrefix="1" applyFont="1" applyFill="1" applyBorder="1" applyAlignment="1">
      <alignment horizontal="center" vertical="center"/>
    </xf>
    <xf numFmtId="0" fontId="19" fillId="0" borderId="16" xfId="0" quotePrefix="1" applyFont="1" applyBorder="1" applyAlignment="1">
      <alignment horizontal="center" vertical="center"/>
    </xf>
    <xf numFmtId="0" fontId="11" fillId="2" borderId="21" xfId="0" quotePrefix="1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7" fillId="0" borderId="16" xfId="0" quotePrefix="1" applyFont="1" applyBorder="1" applyAlignment="1">
      <alignment horizontal="left" vertical="center"/>
    </xf>
    <xf numFmtId="0" fontId="18" fillId="2" borderId="16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1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4"/>
  <sheetViews>
    <sheetView tabSelected="1" topLeftCell="A14" zoomScaleNormal="100" workbookViewId="0">
      <selection activeCell="G49" sqref="G49"/>
    </sheetView>
  </sheetViews>
  <sheetFormatPr defaultRowHeight="15" x14ac:dyDescent="0.25"/>
  <cols>
    <col min="2" max="2" width="3.140625" style="25" customWidth="1"/>
    <col min="3" max="3" width="9.85546875" style="25" bestFit="1" customWidth="1"/>
    <col min="4" max="4" width="42.5703125" bestFit="1" customWidth="1"/>
    <col min="5" max="5" width="50" bestFit="1" customWidth="1"/>
    <col min="6" max="6" width="26.5703125" bestFit="1" customWidth="1"/>
    <col min="7" max="7" width="33.42578125" bestFit="1" customWidth="1"/>
    <col min="8" max="8" width="29.28515625" bestFit="1" customWidth="1"/>
    <col min="9" max="9" width="29.42578125" bestFit="1" customWidth="1"/>
    <col min="10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90"/>
      <c r="J1" s="90"/>
      <c r="K1" s="90"/>
    </row>
    <row r="2" spans="1:11" ht="32.25" thickBot="1" x14ac:dyDescent="0.3">
      <c r="A2" s="1"/>
      <c r="B2" s="20"/>
      <c r="C2" s="44"/>
      <c r="D2" s="10" t="s">
        <v>0</v>
      </c>
      <c r="E2" s="10"/>
      <c r="F2" s="39" t="s">
        <v>7</v>
      </c>
      <c r="G2" s="11"/>
      <c r="H2" s="3"/>
      <c r="I2" s="3"/>
      <c r="J2" s="3"/>
      <c r="K2" s="37"/>
    </row>
    <row r="3" spans="1:11" x14ac:dyDescent="0.25">
      <c r="A3" s="1"/>
      <c r="B3" s="21"/>
      <c r="C3" s="45"/>
      <c r="D3" s="12" t="s">
        <v>1</v>
      </c>
      <c r="E3" s="12"/>
      <c r="F3" s="40" t="s">
        <v>8</v>
      </c>
      <c r="G3" s="12"/>
      <c r="H3" s="4"/>
      <c r="I3" s="4"/>
      <c r="J3" s="4"/>
      <c r="K3" s="91"/>
    </row>
    <row r="4" spans="1:11" x14ac:dyDescent="0.25">
      <c r="A4" s="1"/>
      <c r="B4" s="21"/>
      <c r="C4" s="45"/>
      <c r="D4" s="12" t="s">
        <v>2</v>
      </c>
      <c r="E4" s="12"/>
      <c r="F4" s="41" t="s">
        <v>8</v>
      </c>
      <c r="G4" s="13"/>
      <c r="H4" s="6"/>
      <c r="I4" s="6"/>
      <c r="J4" s="6"/>
      <c r="K4" s="92"/>
    </row>
    <row r="5" spans="1:11" x14ac:dyDescent="0.25">
      <c r="A5" s="1"/>
      <c r="B5" s="21"/>
      <c r="C5" s="45"/>
      <c r="D5" s="12" t="s">
        <v>3</v>
      </c>
      <c r="E5" s="12"/>
      <c r="F5" s="42" t="s">
        <v>9</v>
      </c>
      <c r="G5" s="14"/>
      <c r="H5" s="5"/>
      <c r="I5" s="5"/>
      <c r="J5" s="5"/>
      <c r="K5" s="92"/>
    </row>
    <row r="6" spans="1:11" x14ac:dyDescent="0.25">
      <c r="A6" s="1"/>
      <c r="B6" s="22"/>
      <c r="C6" s="46"/>
      <c r="D6" s="15"/>
      <c r="E6" s="15"/>
      <c r="F6" s="16"/>
      <c r="G6" s="14"/>
      <c r="H6" s="5"/>
      <c r="I6" s="5"/>
      <c r="J6" s="5"/>
      <c r="K6" s="92"/>
    </row>
    <row r="7" spans="1:11" x14ac:dyDescent="0.25">
      <c r="A7" s="1"/>
      <c r="B7" s="23"/>
      <c r="C7" s="47"/>
      <c r="D7" s="17"/>
      <c r="E7" s="17"/>
      <c r="F7" s="18"/>
      <c r="G7" s="17"/>
      <c r="H7" s="7"/>
      <c r="I7" s="7"/>
      <c r="J7" s="7"/>
      <c r="K7" s="92"/>
    </row>
    <row r="8" spans="1:11" ht="15.75" thickBot="1" x14ac:dyDescent="0.3">
      <c r="A8" s="1"/>
      <c r="B8" s="26"/>
      <c r="C8" s="48"/>
      <c r="D8" s="27"/>
      <c r="E8" s="27"/>
      <c r="F8" s="28"/>
      <c r="G8" s="17"/>
      <c r="H8" s="7"/>
      <c r="I8" s="7"/>
      <c r="J8" s="7"/>
      <c r="K8" s="92"/>
    </row>
    <row r="9" spans="1:11" ht="15.75" thickBot="1" x14ac:dyDescent="0.3">
      <c r="A9" s="1"/>
      <c r="B9" s="29" t="s">
        <v>4</v>
      </c>
      <c r="C9" s="29" t="s">
        <v>28</v>
      </c>
      <c r="D9" s="29" t="s">
        <v>10</v>
      </c>
      <c r="E9" s="29" t="s">
        <v>17</v>
      </c>
      <c r="F9" s="30" t="s">
        <v>18</v>
      </c>
      <c r="G9" s="29" t="s">
        <v>19</v>
      </c>
      <c r="H9" s="29" t="s">
        <v>20</v>
      </c>
      <c r="I9" s="29" t="s">
        <v>73</v>
      </c>
      <c r="J9" s="30" t="s">
        <v>27</v>
      </c>
      <c r="K9" s="29" t="s">
        <v>26</v>
      </c>
    </row>
    <row r="10" spans="1:11" ht="15.75" thickBot="1" x14ac:dyDescent="0.3">
      <c r="A10" s="1"/>
      <c r="B10" s="31">
        <f>ROW(B10) - ROW($B$9)</f>
        <v>1</v>
      </c>
      <c r="C10" s="87" t="s">
        <v>29</v>
      </c>
      <c r="D10" s="64" t="s">
        <v>11</v>
      </c>
      <c r="E10" s="64" t="s">
        <v>60</v>
      </c>
      <c r="F10" s="70" t="s">
        <v>61</v>
      </c>
      <c r="G10" s="53" t="s">
        <v>72</v>
      </c>
      <c r="H10" s="53" t="s">
        <v>71</v>
      </c>
      <c r="I10" s="76" t="s">
        <v>22</v>
      </c>
      <c r="J10" s="75">
        <v>1</v>
      </c>
      <c r="K10" s="53" t="s">
        <v>164</v>
      </c>
    </row>
    <row r="11" spans="1:11" ht="15.75" thickBot="1" x14ac:dyDescent="0.3">
      <c r="A11" s="1"/>
      <c r="B11" s="31">
        <f t="shared" ref="B11:B42" si="0">ROW(B11) - ROW($B$9)</f>
        <v>2</v>
      </c>
      <c r="C11" s="89"/>
      <c r="D11" s="65" t="s">
        <v>12</v>
      </c>
      <c r="E11" s="65" t="s">
        <v>74</v>
      </c>
      <c r="F11" s="71" t="s">
        <v>61</v>
      </c>
      <c r="G11" s="43" t="s">
        <v>76</v>
      </c>
      <c r="H11" s="54" t="s">
        <v>75</v>
      </c>
      <c r="I11" s="77" t="s">
        <v>77</v>
      </c>
      <c r="J11" s="74">
        <v>1</v>
      </c>
      <c r="K11" s="43" t="s">
        <v>164</v>
      </c>
    </row>
    <row r="12" spans="1:11" ht="15.75" thickBot="1" x14ac:dyDescent="0.3">
      <c r="A12" s="1"/>
      <c r="B12" s="31">
        <f t="shared" si="0"/>
        <v>3</v>
      </c>
      <c r="C12" s="89"/>
      <c r="D12" s="64" t="s">
        <v>33</v>
      </c>
      <c r="E12" s="67" t="s">
        <v>88</v>
      </c>
      <c r="F12" s="70" t="s">
        <v>61</v>
      </c>
      <c r="G12" s="53" t="s">
        <v>89</v>
      </c>
      <c r="H12" s="55" t="s">
        <v>90</v>
      </c>
      <c r="I12" s="76" t="s">
        <v>78</v>
      </c>
      <c r="J12" s="75">
        <v>4</v>
      </c>
      <c r="K12" s="53" t="s">
        <v>164</v>
      </c>
    </row>
    <row r="13" spans="1:11" ht="15.75" thickBot="1" x14ac:dyDescent="0.3">
      <c r="A13" s="1"/>
      <c r="B13" s="31">
        <f t="shared" si="0"/>
        <v>4</v>
      </c>
      <c r="C13" s="89"/>
      <c r="D13" s="65" t="s">
        <v>13</v>
      </c>
      <c r="E13" s="65" t="s">
        <v>60</v>
      </c>
      <c r="F13" s="71" t="s">
        <v>61</v>
      </c>
      <c r="G13" s="57" t="s">
        <v>72</v>
      </c>
      <c r="H13" s="57" t="s">
        <v>71</v>
      </c>
      <c r="I13" s="77" t="s">
        <v>79</v>
      </c>
      <c r="J13" s="74">
        <v>1</v>
      </c>
      <c r="K13" s="43" t="s">
        <v>164</v>
      </c>
    </row>
    <row r="14" spans="1:11" ht="15.75" thickBot="1" x14ac:dyDescent="0.3">
      <c r="A14" s="1"/>
      <c r="B14" s="31">
        <f t="shared" si="0"/>
        <v>5</v>
      </c>
      <c r="C14" s="89"/>
      <c r="D14" s="64" t="s">
        <v>34</v>
      </c>
      <c r="E14" s="67" t="s">
        <v>91</v>
      </c>
      <c r="F14" s="70" t="s">
        <v>62</v>
      </c>
      <c r="G14" s="53" t="s">
        <v>92</v>
      </c>
      <c r="H14" s="53" t="s">
        <v>71</v>
      </c>
      <c r="I14" s="76" t="s">
        <v>80</v>
      </c>
      <c r="J14" s="75">
        <v>2</v>
      </c>
      <c r="K14" s="53" t="s">
        <v>164</v>
      </c>
    </row>
    <row r="15" spans="1:11" ht="15.75" thickBot="1" x14ac:dyDescent="0.3">
      <c r="A15" s="1"/>
      <c r="B15" s="31">
        <f t="shared" si="0"/>
        <v>6</v>
      </c>
      <c r="C15" s="89"/>
      <c r="D15" s="65" t="s">
        <v>35</v>
      </c>
      <c r="E15" s="68" t="s">
        <v>93</v>
      </c>
      <c r="F15" s="71" t="s">
        <v>62</v>
      </c>
      <c r="G15" s="72" t="s">
        <v>94</v>
      </c>
      <c r="H15" s="57" t="s">
        <v>71</v>
      </c>
      <c r="I15" s="77" t="s">
        <v>81</v>
      </c>
      <c r="J15" s="74">
        <v>2</v>
      </c>
      <c r="K15" s="72" t="s">
        <v>164</v>
      </c>
    </row>
    <row r="16" spans="1:11" ht="15.75" thickBot="1" x14ac:dyDescent="0.3">
      <c r="A16" s="1"/>
      <c r="B16" s="31">
        <f t="shared" si="0"/>
        <v>7</v>
      </c>
      <c r="C16" s="89"/>
      <c r="D16" s="64" t="s">
        <v>36</v>
      </c>
      <c r="E16" s="67" t="s">
        <v>95</v>
      </c>
      <c r="F16" s="70" t="s">
        <v>61</v>
      </c>
      <c r="G16" s="58" t="s">
        <v>96</v>
      </c>
      <c r="H16" s="59" t="s">
        <v>97</v>
      </c>
      <c r="I16" s="76" t="s">
        <v>82</v>
      </c>
      <c r="J16" s="75">
        <v>3</v>
      </c>
      <c r="K16" s="53" t="s">
        <v>164</v>
      </c>
    </row>
    <row r="17" spans="1:11" ht="15.75" thickBot="1" x14ac:dyDescent="0.3">
      <c r="A17" s="1"/>
      <c r="B17" s="31">
        <f t="shared" si="0"/>
        <v>8</v>
      </c>
      <c r="C17" s="89"/>
      <c r="D17" s="65" t="s">
        <v>37</v>
      </c>
      <c r="E17" s="68" t="s">
        <v>98</v>
      </c>
      <c r="F17" s="71" t="s">
        <v>61</v>
      </c>
      <c r="G17" s="43" t="s">
        <v>99</v>
      </c>
      <c r="H17" s="61" t="s">
        <v>97</v>
      </c>
      <c r="I17" s="77" t="s">
        <v>83</v>
      </c>
      <c r="J17" s="74">
        <v>1</v>
      </c>
      <c r="K17" s="72" t="s">
        <v>164</v>
      </c>
    </row>
    <row r="18" spans="1:11" ht="15.75" thickBot="1" x14ac:dyDescent="0.3">
      <c r="A18" s="1"/>
      <c r="B18" s="31">
        <f t="shared" si="0"/>
        <v>9</v>
      </c>
      <c r="C18" s="89"/>
      <c r="D18" s="64" t="s">
        <v>38</v>
      </c>
      <c r="E18" s="67" t="s">
        <v>100</v>
      </c>
      <c r="F18" s="70" t="s">
        <v>62</v>
      </c>
      <c r="G18" s="53" t="s">
        <v>101</v>
      </c>
      <c r="H18" s="53" t="s">
        <v>71</v>
      </c>
      <c r="I18" s="76" t="s">
        <v>84</v>
      </c>
      <c r="J18" s="75">
        <v>2</v>
      </c>
      <c r="K18" s="53" t="s">
        <v>164</v>
      </c>
    </row>
    <row r="19" spans="1:11" ht="15.75" thickBot="1" x14ac:dyDescent="0.3">
      <c r="A19" s="1"/>
      <c r="B19" s="31">
        <f t="shared" si="0"/>
        <v>10</v>
      </c>
      <c r="C19" s="89"/>
      <c r="D19" s="65" t="s">
        <v>39</v>
      </c>
      <c r="E19" s="65"/>
      <c r="F19" s="71" t="s">
        <v>62</v>
      </c>
      <c r="G19" s="43"/>
      <c r="H19" s="43"/>
      <c r="I19" s="78" t="s">
        <v>85</v>
      </c>
      <c r="J19" s="74">
        <v>1</v>
      </c>
      <c r="K19" s="81" t="s">
        <v>163</v>
      </c>
    </row>
    <row r="20" spans="1:11" ht="15.75" thickBot="1" x14ac:dyDescent="0.3">
      <c r="A20" s="1"/>
      <c r="B20" s="31">
        <f t="shared" si="0"/>
        <v>11</v>
      </c>
      <c r="C20" s="89"/>
      <c r="D20" s="64" t="s">
        <v>40</v>
      </c>
      <c r="E20" s="64"/>
      <c r="F20" s="70" t="s">
        <v>62</v>
      </c>
      <c r="G20" s="53"/>
      <c r="H20" s="53"/>
      <c r="I20" s="79" t="s">
        <v>86</v>
      </c>
      <c r="J20" s="75">
        <v>1</v>
      </c>
      <c r="K20" s="82" t="s">
        <v>163</v>
      </c>
    </row>
    <row r="21" spans="1:11" ht="15.75" thickBot="1" x14ac:dyDescent="0.3">
      <c r="A21" s="1"/>
      <c r="B21" s="31">
        <f t="shared" si="0"/>
        <v>12</v>
      </c>
      <c r="C21" s="88"/>
      <c r="D21" s="65" t="s">
        <v>41</v>
      </c>
      <c r="E21" s="68" t="s">
        <v>102</v>
      </c>
      <c r="F21" s="71" t="s">
        <v>62</v>
      </c>
      <c r="G21" s="43" t="s">
        <v>103</v>
      </c>
      <c r="H21" s="61" t="s">
        <v>97</v>
      </c>
      <c r="I21" s="77" t="s">
        <v>87</v>
      </c>
      <c r="J21" s="74">
        <v>2</v>
      </c>
      <c r="K21" s="43"/>
    </row>
    <row r="22" spans="1:11" ht="26.25" thickBot="1" x14ac:dyDescent="0.3">
      <c r="A22" s="1"/>
      <c r="B22" s="31">
        <f t="shared" si="0"/>
        <v>13</v>
      </c>
      <c r="C22" s="51" t="s">
        <v>30</v>
      </c>
      <c r="D22" s="83" t="s">
        <v>42</v>
      </c>
      <c r="E22" s="83" t="s">
        <v>104</v>
      </c>
      <c r="F22" s="70" t="s">
        <v>165</v>
      </c>
      <c r="G22" s="55" t="s">
        <v>105</v>
      </c>
      <c r="H22" s="55" t="s">
        <v>106</v>
      </c>
      <c r="I22" s="56" t="s">
        <v>24</v>
      </c>
      <c r="J22" s="75">
        <v>2</v>
      </c>
      <c r="K22" s="82" t="s">
        <v>107</v>
      </c>
    </row>
    <row r="23" spans="1:11" ht="15.75" thickBot="1" x14ac:dyDescent="0.3">
      <c r="A23" s="1"/>
      <c r="B23" s="31">
        <f t="shared" si="0"/>
        <v>14</v>
      </c>
      <c r="C23" s="52" t="s">
        <v>128</v>
      </c>
      <c r="D23" s="65" t="s">
        <v>43</v>
      </c>
      <c r="E23" s="65"/>
      <c r="F23" s="71" t="s">
        <v>63</v>
      </c>
      <c r="G23" s="57"/>
      <c r="H23" s="57"/>
      <c r="I23" s="62"/>
      <c r="J23" s="74">
        <v>1</v>
      </c>
      <c r="K23" s="43"/>
    </row>
    <row r="24" spans="1:11" ht="15.75" thickBot="1" x14ac:dyDescent="0.3">
      <c r="A24" s="1"/>
      <c r="B24" s="31">
        <f t="shared" si="0"/>
        <v>15</v>
      </c>
      <c r="C24" s="87" t="s">
        <v>126</v>
      </c>
      <c r="D24" s="64" t="s">
        <v>44</v>
      </c>
      <c r="E24" s="67" t="s">
        <v>159</v>
      </c>
      <c r="F24" s="70" t="s">
        <v>64</v>
      </c>
      <c r="G24" s="55" t="s">
        <v>160</v>
      </c>
      <c r="H24" s="55" t="s">
        <v>161</v>
      </c>
      <c r="I24" s="56" t="s">
        <v>162</v>
      </c>
      <c r="J24" s="75">
        <v>1</v>
      </c>
      <c r="K24" s="53" t="s">
        <v>164</v>
      </c>
    </row>
    <row r="25" spans="1:11" ht="15.75" thickBot="1" x14ac:dyDescent="0.3">
      <c r="A25" s="1"/>
      <c r="B25" s="31">
        <f t="shared" si="0"/>
        <v>16</v>
      </c>
      <c r="C25" s="88"/>
      <c r="D25" s="65" t="s">
        <v>45</v>
      </c>
      <c r="E25" s="68" t="s">
        <v>108</v>
      </c>
      <c r="F25" s="71" t="s">
        <v>65</v>
      </c>
      <c r="G25" s="63" t="s">
        <v>109</v>
      </c>
      <c r="H25" s="57" t="s">
        <v>21</v>
      </c>
      <c r="I25" s="77" t="s">
        <v>110</v>
      </c>
      <c r="J25" s="74">
        <v>1</v>
      </c>
      <c r="K25" s="72" t="s">
        <v>164</v>
      </c>
    </row>
    <row r="26" spans="1:11" ht="15.75" thickBot="1" x14ac:dyDescent="0.3">
      <c r="A26" s="1"/>
      <c r="B26" s="31">
        <f t="shared" si="0"/>
        <v>17</v>
      </c>
      <c r="C26" s="51" t="s">
        <v>127</v>
      </c>
      <c r="D26" s="64" t="s">
        <v>46</v>
      </c>
      <c r="E26" s="67" t="s">
        <v>156</v>
      </c>
      <c r="F26" s="70" t="s">
        <v>66</v>
      </c>
      <c r="G26" s="55" t="s">
        <v>157</v>
      </c>
      <c r="H26" s="55" t="s">
        <v>158</v>
      </c>
      <c r="I26" s="56" t="s">
        <v>25</v>
      </c>
      <c r="J26" s="75">
        <v>2</v>
      </c>
      <c r="K26" s="53" t="s">
        <v>164</v>
      </c>
    </row>
    <row r="27" spans="1:11" ht="15.75" thickBot="1" x14ac:dyDescent="0.3">
      <c r="A27" s="1"/>
      <c r="B27" s="31">
        <f t="shared" si="0"/>
        <v>18</v>
      </c>
      <c r="C27" s="87" t="s">
        <v>128</v>
      </c>
      <c r="D27" s="65" t="s">
        <v>14</v>
      </c>
      <c r="E27" s="68" t="s">
        <v>111</v>
      </c>
      <c r="F27" s="71" t="s">
        <v>67</v>
      </c>
      <c r="G27" s="57">
        <v>61300211121</v>
      </c>
      <c r="H27" s="63" t="s">
        <v>112</v>
      </c>
      <c r="I27" s="62" t="s">
        <v>25</v>
      </c>
      <c r="J27" s="74">
        <v>1</v>
      </c>
      <c r="K27" s="72" t="s">
        <v>164</v>
      </c>
    </row>
    <row r="28" spans="1:11" ht="15.75" thickBot="1" x14ac:dyDescent="0.3">
      <c r="A28" s="1"/>
      <c r="B28" s="31">
        <f t="shared" si="0"/>
        <v>19</v>
      </c>
      <c r="C28" s="89"/>
      <c r="D28" s="64" t="s">
        <v>47</v>
      </c>
      <c r="E28" s="67" t="s">
        <v>111</v>
      </c>
      <c r="F28" s="70" t="s">
        <v>67</v>
      </c>
      <c r="G28" s="53">
        <v>61300211121</v>
      </c>
      <c r="H28" s="55" t="s">
        <v>112</v>
      </c>
      <c r="I28" s="56" t="s">
        <v>25</v>
      </c>
      <c r="J28" s="75">
        <v>1</v>
      </c>
      <c r="K28" s="53" t="s">
        <v>164</v>
      </c>
    </row>
    <row r="29" spans="1:11" ht="15.75" thickBot="1" x14ac:dyDescent="0.3">
      <c r="A29" s="1"/>
      <c r="B29" s="31">
        <f t="shared" si="0"/>
        <v>20</v>
      </c>
      <c r="C29" s="89"/>
      <c r="D29" s="65" t="s">
        <v>48</v>
      </c>
      <c r="E29" s="68" t="s">
        <v>113</v>
      </c>
      <c r="F29" s="71" t="s">
        <v>68</v>
      </c>
      <c r="G29" s="63" t="s">
        <v>114</v>
      </c>
      <c r="H29" s="63" t="s">
        <v>115</v>
      </c>
      <c r="I29" s="62" t="s">
        <v>25</v>
      </c>
      <c r="J29" s="74">
        <v>2</v>
      </c>
      <c r="K29" s="72" t="s">
        <v>164</v>
      </c>
    </row>
    <row r="30" spans="1:11" ht="15.75" thickBot="1" x14ac:dyDescent="0.3">
      <c r="A30" s="1"/>
      <c r="B30" s="31">
        <f t="shared" si="0"/>
        <v>21</v>
      </c>
      <c r="C30" s="87" t="s">
        <v>31</v>
      </c>
      <c r="D30" s="64" t="s">
        <v>49</v>
      </c>
      <c r="E30" s="67" t="s">
        <v>125</v>
      </c>
      <c r="F30" s="70" t="s">
        <v>69</v>
      </c>
      <c r="G30" s="53" t="s">
        <v>129</v>
      </c>
      <c r="H30" s="55" t="s">
        <v>134</v>
      </c>
      <c r="I30" s="76" t="s">
        <v>116</v>
      </c>
      <c r="J30" s="75">
        <v>2</v>
      </c>
      <c r="K30" s="53" t="s">
        <v>164</v>
      </c>
    </row>
    <row r="31" spans="1:11" ht="15.75" thickBot="1" x14ac:dyDescent="0.3">
      <c r="A31" s="1"/>
      <c r="B31" s="31">
        <f t="shared" si="0"/>
        <v>22</v>
      </c>
      <c r="C31" s="89"/>
      <c r="D31" s="65" t="s">
        <v>50</v>
      </c>
      <c r="E31" s="68" t="s">
        <v>130</v>
      </c>
      <c r="F31" s="71" t="s">
        <v>62</v>
      </c>
      <c r="G31" s="63" t="s">
        <v>131</v>
      </c>
      <c r="H31" s="63" t="s">
        <v>75</v>
      </c>
      <c r="I31" s="77" t="s">
        <v>117</v>
      </c>
      <c r="J31" s="74">
        <v>7</v>
      </c>
      <c r="K31" s="72" t="s">
        <v>164</v>
      </c>
    </row>
    <row r="32" spans="1:11" ht="15.75" thickBot="1" x14ac:dyDescent="0.3">
      <c r="A32" s="1"/>
      <c r="B32" s="31">
        <f t="shared" si="0"/>
        <v>23</v>
      </c>
      <c r="C32" s="89"/>
      <c r="D32" s="64" t="s">
        <v>51</v>
      </c>
      <c r="E32" s="67" t="s">
        <v>133</v>
      </c>
      <c r="F32" s="70" t="s">
        <v>62</v>
      </c>
      <c r="G32" s="55" t="s">
        <v>132</v>
      </c>
      <c r="H32" s="55" t="s">
        <v>134</v>
      </c>
      <c r="I32" s="76" t="s">
        <v>118</v>
      </c>
      <c r="J32" s="75">
        <v>1</v>
      </c>
      <c r="K32" s="53" t="s">
        <v>164</v>
      </c>
    </row>
    <row r="33" spans="1:11" ht="15.75" thickBot="1" x14ac:dyDescent="0.3">
      <c r="A33" s="1"/>
      <c r="B33" s="31">
        <f t="shared" si="0"/>
        <v>24</v>
      </c>
      <c r="C33" s="89"/>
      <c r="D33" s="65" t="s">
        <v>52</v>
      </c>
      <c r="E33" s="68" t="s">
        <v>135</v>
      </c>
      <c r="F33" s="71" t="s">
        <v>62</v>
      </c>
      <c r="G33" s="63" t="s">
        <v>136</v>
      </c>
      <c r="H33" s="63" t="s">
        <v>75</v>
      </c>
      <c r="I33" s="77" t="s">
        <v>119</v>
      </c>
      <c r="J33" s="74">
        <v>1</v>
      </c>
      <c r="K33" s="72" t="s">
        <v>164</v>
      </c>
    </row>
    <row r="34" spans="1:11" ht="15.75" thickBot="1" x14ac:dyDescent="0.3">
      <c r="A34" s="1"/>
      <c r="B34" s="31">
        <f t="shared" si="0"/>
        <v>25</v>
      </c>
      <c r="C34" s="89"/>
      <c r="D34" s="64" t="s">
        <v>15</v>
      </c>
      <c r="E34" s="67" t="s">
        <v>137</v>
      </c>
      <c r="F34" s="70" t="s">
        <v>62</v>
      </c>
      <c r="G34" s="55" t="s">
        <v>138</v>
      </c>
      <c r="H34" s="55" t="s">
        <v>75</v>
      </c>
      <c r="I34" s="76" t="s">
        <v>120</v>
      </c>
      <c r="J34" s="75">
        <v>1</v>
      </c>
      <c r="K34" s="53" t="s">
        <v>164</v>
      </c>
    </row>
    <row r="35" spans="1:11" ht="15.75" thickBot="1" x14ac:dyDescent="0.3">
      <c r="A35" s="1"/>
      <c r="B35" s="31">
        <f t="shared" si="0"/>
        <v>26</v>
      </c>
      <c r="C35" s="89"/>
      <c r="D35" s="65" t="s">
        <v>53</v>
      </c>
      <c r="E35" s="65"/>
      <c r="F35" s="71" t="s">
        <v>62</v>
      </c>
      <c r="G35" s="57"/>
      <c r="H35" s="57"/>
      <c r="I35" s="77" t="s">
        <v>121</v>
      </c>
      <c r="J35" s="74">
        <v>1</v>
      </c>
      <c r="K35" s="81" t="s">
        <v>163</v>
      </c>
    </row>
    <row r="36" spans="1:11" ht="15.75" thickBot="1" x14ac:dyDescent="0.3">
      <c r="A36" s="1"/>
      <c r="B36" s="31">
        <f t="shared" si="0"/>
        <v>27</v>
      </c>
      <c r="C36" s="89"/>
      <c r="D36" s="64" t="s">
        <v>54</v>
      </c>
      <c r="E36" s="67" t="s">
        <v>139</v>
      </c>
      <c r="F36" s="70" t="s">
        <v>62</v>
      </c>
      <c r="G36" s="55" t="s">
        <v>140</v>
      </c>
      <c r="H36" s="55" t="s">
        <v>75</v>
      </c>
      <c r="I36" s="76" t="s">
        <v>122</v>
      </c>
      <c r="J36" s="75">
        <v>1</v>
      </c>
      <c r="K36" s="53" t="s">
        <v>164</v>
      </c>
    </row>
    <row r="37" spans="1:11" ht="15.75" thickBot="1" x14ac:dyDescent="0.3">
      <c r="A37" s="1"/>
      <c r="B37" s="31">
        <f t="shared" si="0"/>
        <v>28</v>
      </c>
      <c r="C37" s="89"/>
      <c r="D37" s="65" t="s">
        <v>55</v>
      </c>
      <c r="E37" s="68" t="s">
        <v>143</v>
      </c>
      <c r="F37" s="71" t="s">
        <v>62</v>
      </c>
      <c r="G37" s="57" t="s">
        <v>144</v>
      </c>
      <c r="H37" s="63" t="s">
        <v>75</v>
      </c>
      <c r="I37" s="77" t="s">
        <v>123</v>
      </c>
      <c r="J37" s="74">
        <v>1</v>
      </c>
      <c r="K37" s="72" t="s">
        <v>164</v>
      </c>
    </row>
    <row r="38" spans="1:11" ht="15.75" thickBot="1" x14ac:dyDescent="0.3">
      <c r="A38" s="1"/>
      <c r="B38" s="31">
        <f t="shared" si="0"/>
        <v>29</v>
      </c>
      <c r="C38" s="89"/>
      <c r="D38" s="64" t="s">
        <v>56</v>
      </c>
      <c r="E38" s="67" t="s">
        <v>141</v>
      </c>
      <c r="F38" s="70" t="s">
        <v>62</v>
      </c>
      <c r="G38" s="55" t="s">
        <v>142</v>
      </c>
      <c r="H38" s="55" t="s">
        <v>75</v>
      </c>
      <c r="I38" s="76" t="s">
        <v>23</v>
      </c>
      <c r="J38" s="75">
        <v>10</v>
      </c>
      <c r="K38" s="53" t="s">
        <v>164</v>
      </c>
    </row>
    <row r="39" spans="1:11" ht="15.75" thickBot="1" x14ac:dyDescent="0.3">
      <c r="A39" s="1"/>
      <c r="B39" s="31">
        <f t="shared" si="0"/>
        <v>30</v>
      </c>
      <c r="C39" s="88"/>
      <c r="D39" s="65" t="s">
        <v>57</v>
      </c>
      <c r="E39" s="68" t="s">
        <v>146</v>
      </c>
      <c r="F39" s="71" t="s">
        <v>62</v>
      </c>
      <c r="G39" s="63" t="s">
        <v>145</v>
      </c>
      <c r="H39" s="63" t="s">
        <v>75</v>
      </c>
      <c r="I39" s="77" t="s">
        <v>124</v>
      </c>
      <c r="J39" s="74">
        <v>1</v>
      </c>
      <c r="K39" s="72" t="s">
        <v>164</v>
      </c>
    </row>
    <row r="40" spans="1:11" ht="15.75" thickBot="1" x14ac:dyDescent="0.3">
      <c r="A40" s="1"/>
      <c r="B40" s="31">
        <f t="shared" si="0"/>
        <v>31</v>
      </c>
      <c r="C40" s="87" t="s">
        <v>32</v>
      </c>
      <c r="D40" s="64" t="s">
        <v>16</v>
      </c>
      <c r="E40" s="67" t="s">
        <v>147</v>
      </c>
      <c r="F40" s="70" t="s">
        <v>166</v>
      </c>
      <c r="G40" s="55" t="s">
        <v>148</v>
      </c>
      <c r="H40" s="55" t="s">
        <v>149</v>
      </c>
      <c r="I40" s="56" t="s">
        <v>24</v>
      </c>
      <c r="J40" s="75">
        <v>1</v>
      </c>
      <c r="K40" s="84" t="s">
        <v>155</v>
      </c>
    </row>
    <row r="41" spans="1:11" ht="15.75" thickBot="1" x14ac:dyDescent="0.3">
      <c r="A41" s="1"/>
      <c r="B41" s="31">
        <f t="shared" si="0"/>
        <v>32</v>
      </c>
      <c r="C41" s="89"/>
      <c r="D41" s="65" t="s">
        <v>58</v>
      </c>
      <c r="E41" s="68" t="s">
        <v>150</v>
      </c>
      <c r="F41" s="71" t="s">
        <v>70</v>
      </c>
      <c r="G41" s="63" t="s">
        <v>151</v>
      </c>
      <c r="H41" s="63" t="s">
        <v>152</v>
      </c>
      <c r="I41" s="62" t="s">
        <v>24</v>
      </c>
      <c r="J41" s="74">
        <v>1</v>
      </c>
      <c r="K41" s="85" t="s">
        <v>155</v>
      </c>
    </row>
    <row r="42" spans="1:11" ht="15.75" thickBot="1" x14ac:dyDescent="0.3">
      <c r="A42" s="1"/>
      <c r="B42" s="31">
        <f t="shared" si="0"/>
        <v>33</v>
      </c>
      <c r="C42" s="88"/>
      <c r="D42" s="66" t="s">
        <v>59</v>
      </c>
      <c r="E42" s="69" t="s">
        <v>153</v>
      </c>
      <c r="F42" s="70" t="s">
        <v>167</v>
      </c>
      <c r="G42" s="73" t="s">
        <v>154</v>
      </c>
      <c r="H42" s="55" t="s">
        <v>149</v>
      </c>
      <c r="I42" s="80" t="s">
        <v>24</v>
      </c>
      <c r="J42" s="75">
        <v>1</v>
      </c>
      <c r="K42" s="86" t="s">
        <v>155</v>
      </c>
    </row>
    <row r="43" spans="1:11" x14ac:dyDescent="0.25">
      <c r="A43" s="1"/>
      <c r="B43" s="32"/>
      <c r="C43" s="49"/>
      <c r="D43" s="33" t="s">
        <v>5</v>
      </c>
      <c r="E43" s="34"/>
      <c r="F43" s="35"/>
      <c r="G43" s="36"/>
      <c r="H43" s="35"/>
      <c r="I43" s="36"/>
      <c r="J43" s="36"/>
      <c r="K43" s="60"/>
    </row>
    <row r="44" spans="1:11" ht="15.75" thickBot="1" x14ac:dyDescent="0.3">
      <c r="A44" s="1"/>
      <c r="B44" s="24"/>
      <c r="C44" s="50"/>
      <c r="D44" s="8" t="s">
        <v>6</v>
      </c>
      <c r="E44" s="9"/>
      <c r="F44" s="9"/>
      <c r="G44" s="9"/>
      <c r="H44" s="9"/>
      <c r="I44" s="9"/>
      <c r="J44" s="9"/>
      <c r="K44" s="38"/>
    </row>
  </sheetData>
  <mergeCells count="7">
    <mergeCell ref="C24:C25"/>
    <mergeCell ref="C27:C29"/>
    <mergeCell ref="C30:C39"/>
    <mergeCell ref="C40:C42"/>
    <mergeCell ref="I1:K1"/>
    <mergeCell ref="K3:K8"/>
    <mergeCell ref="C10:C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2022-07-06T10:56:50Z</dcterms:modified>
</cp:coreProperties>
</file>