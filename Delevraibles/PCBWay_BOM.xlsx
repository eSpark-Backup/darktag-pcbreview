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DarkTag-PCBReview\Delevraibles\"/>
    </mc:Choice>
  </mc:AlternateContent>
  <xr:revisionPtr revIDLastSave="0" documentId="13_ncr:1_{F7260033-E2C8-4B22-AF2F-2846A9B37A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<sst xmlns="http://schemas.openxmlformats.org/spreadsheetml/2006/main" count="203" uniqueCount="158">
  <si>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</si>
  <si>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</si>
  <si>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</si>
  <si>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</si>
  <si>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</si>
  <si>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</si>
  <si>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</si>
  <si>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[Dark_Tag.PrjPcb] (No PCB Document Selected)</t>
  </si>
  <si>
    <t>Dark_Tag.PrjPcb</t>
  </si>
  <si>
    <t>None</t>
  </si>
  <si>
    <t>Designator</t>
  </si>
  <si>
    <t>C1, C2, C15, C16</t>
  </si>
  <si>
    <t>C3, C6</t>
  </si>
  <si>
    <t>C4, C8, C13</t>
  </si>
  <si>
    <t>C5, C10</t>
  </si>
  <si>
    <t>C7, C11</t>
  </si>
  <si>
    <t>C9, C12</t>
  </si>
  <si>
    <t>C14, C18</t>
  </si>
  <si>
    <t>C17</t>
  </si>
  <si>
    <t>CF1</t>
  </si>
  <si>
    <t>CF2</t>
  </si>
  <si>
    <t>CF3</t>
  </si>
  <si>
    <t>D1, D2</t>
  </si>
  <si>
    <t>J1</t>
  </si>
  <si>
    <t>L1</t>
  </si>
  <si>
    <t>L2</t>
  </si>
  <si>
    <t>LED1, LED2</t>
  </si>
  <si>
    <t>P1, P2</t>
  </si>
  <si>
    <t>P3, P4</t>
  </si>
  <si>
    <t>R1</t>
  </si>
  <si>
    <t>R2</t>
  </si>
  <si>
    <t>R4, R5, R6, R8, R9, R10, R11</t>
  </si>
  <si>
    <t>R7</t>
  </si>
  <si>
    <t>R12</t>
  </si>
  <si>
    <t>R13</t>
  </si>
  <si>
    <t>R14, R15, R16, R18, R20, R21, R22, R23, R24, R25</t>
  </si>
  <si>
    <t>R17, R19</t>
  </si>
  <si>
    <t>RF1</t>
  </si>
  <si>
    <t>RF2</t>
  </si>
  <si>
    <t>U1</t>
  </si>
  <si>
    <t>U2</t>
  </si>
  <si>
    <t>U3</t>
  </si>
  <si>
    <t>Description</t>
  </si>
  <si>
    <t>CAP CER 10UF 25V X5R 0805</t>
  </si>
  <si>
    <t>CAP CER 0.1UF 16V X7R 0402</t>
  </si>
  <si>
    <t>CAP CER 10UF 16V X5R 0805</t>
  </si>
  <si>
    <t>CAP CER 0.47UF 25V X5R 0402</t>
  </si>
  <si>
    <t>CAP CER 0.022UF 25V X7R 0402</t>
  </si>
  <si>
    <t>CAP CER 10000PF 25V X7R 0402</t>
  </si>
  <si>
    <t>CAP CER 1UF 25V X7R 0805</t>
  </si>
  <si>
    <t>CAP CER 0.047UF 25V X7R 0805</t>
  </si>
  <si>
    <t>CAP CER 4.7UF 10V X5R 0805</t>
  </si>
  <si>
    <t>25V 150nF Y5V -20%~+80% 0603 Multilayer Ceramic Capacitors MLCC - SMD/SMT ROHS</t>
  </si>
  <si>
    <t>25V 2.2nF X7R ±5% 0603 Multilayer Ceramic Capacitors MLCC - SMD/SMT ROHS</t>
  </si>
  <si>
    <t>DIODE SCHOTTKY 5A 60V SMA</t>
  </si>
  <si>
    <t>USB 3.1 1 Surface Mount 6 Female -25℃~+85℃ Type-C SMD USB Connectors ROHS</t>
  </si>
  <si>
    <t>FIXED IND 4.7UH 2A 72 MOHM SMD</t>
  </si>
  <si>
    <t>Fixed Ind 1UH 2.52A 41 Mohm SMD</t>
  </si>
  <si>
    <t>LED GREEN DIFFUSED 0603 SMD</t>
  </si>
  <si>
    <t>CONN HEADER VERT 2POS 2.54MM</t>
  </si>
  <si>
    <t>CONN HEADER VERT 10POS 2.54MM</t>
  </si>
  <si>
    <t>RES SMD 1M OHM 1% 1/16W 0402</t>
  </si>
  <si>
    <t>RES 20K OHM 5% 1/16W 0402</t>
  </si>
  <si>
    <t>RES SMD 10K OHM 5% 1/16W 0402</t>
  </si>
  <si>
    <t>RES SMD 2.21KOHM 0.1% 1/16W 0402</t>
  </si>
  <si>
    <t>RES 158 OHM 1% 1/16W 0402</t>
  </si>
  <si>
    <t>RES 221 OHM 1% 1/16W 0402</t>
  </si>
  <si>
    <t>RES SMD 1K OHM 1% 1/16W 0402</t>
  </si>
  <si>
    <t>RES 5.1K OHM 5% 1/10W 0603</t>
  </si>
  <si>
    <t>RES 196 OHM 1% 1/16W 0402</t>
  </si>
  <si>
    <t>62.5mW 50V ±1% ±100ppm/℃ -55℃~+155℃ 66.5Ω 0402 Chip Resistor - Surface Mount ROHS</t>
  </si>
  <si>
    <t>IC LED DRV RGLTR PWM 550MA 8MSOP</t>
  </si>
  <si>
    <t>IC WIRELESS PWR RCVR 20QFN</t>
  </si>
  <si>
    <t>IC BATT CHG LI-ION 1CELL 24WQFN</t>
  </si>
  <si>
    <t>Footprint</t>
  </si>
  <si>
    <t>Cap0805</t>
  </si>
  <si>
    <t>Cap0402</t>
  </si>
  <si>
    <t>Cap 0603</t>
  </si>
  <si>
    <t>SMA</t>
  </si>
  <si>
    <t>U262-061N-4BVC11</t>
  </si>
  <si>
    <t>SRN5020-4R7M</t>
  </si>
  <si>
    <t>LED 0603</t>
  </si>
  <si>
    <t>HDR1X2</t>
  </si>
  <si>
    <t>HDR1X10</t>
  </si>
  <si>
    <t>Res0402</t>
  </si>
  <si>
    <t>Res0603</t>
  </si>
  <si>
    <t>8-MSOP</t>
  </si>
  <si>
    <t>20QFN</t>
  </si>
  <si>
    <t>24-WQFN (4x4)</t>
  </si>
  <si>
    <t>Manufacturer Part Number</t>
  </si>
  <si>
    <t>TMK212BBJ106KGHT</t>
  </si>
  <si>
    <t>GCM155R71C104KA55D</t>
  </si>
  <si>
    <t>CL21A106KOQNNNE</t>
  </si>
  <si>
    <t>CL05A474KA5NNNC</t>
  </si>
  <si>
    <t>GCM155R71E223KA55J</t>
  </si>
  <si>
    <t>GRM155R71E103KA01D</t>
  </si>
  <si>
    <t>GCM21BR71E105KA56L</t>
  </si>
  <si>
    <t>CC0805KRX7R8BB473</t>
  </si>
  <si>
    <t>CL21A475KPFNNNE</t>
  </si>
  <si>
    <t>0603F154Z250CT</t>
  </si>
  <si>
    <t>CC0603JRX7R8BB222</t>
  </si>
  <si>
    <t>SK56A-LTP</t>
  </si>
  <si>
    <t>LTQ39E-Q1OO-25-1</t>
  </si>
  <si>
    <t>M20-9991045</t>
  </si>
  <si>
    <t>AF0402FR-071ML</t>
  </si>
  <si>
    <t>RMCF0402JT20K0</t>
  </si>
  <si>
    <t>RC0402JR-0710KP</t>
  </si>
  <si>
    <t>AT0402BRD072K21L</t>
  </si>
  <si>
    <t>RC0402FR-07158RL</t>
  </si>
  <si>
    <t>RC0402FR-07221RL</t>
  </si>
  <si>
    <t>AF0402FR-071KL</t>
  </si>
  <si>
    <t>RMCF0603JT5K10</t>
  </si>
  <si>
    <t>RC0402FR-07196RL</t>
  </si>
  <si>
    <t>WR04X66R5FTL</t>
  </si>
  <si>
    <t>MCP1643T-I/MS</t>
  </si>
  <si>
    <t>BQ51013BRHLR</t>
  </si>
  <si>
    <t>BQ25616JRTWR</t>
  </si>
  <si>
    <t>Manufacturer</t>
  </si>
  <si>
    <t>Taiyo Yuden</t>
  </si>
  <si>
    <t>Murata</t>
  </si>
  <si>
    <t>Samsung</t>
  </si>
  <si>
    <t>Yageo</t>
  </si>
  <si>
    <t>Walsin Tech Corp</t>
  </si>
  <si>
    <t>MCC</t>
  </si>
  <si>
    <t>XKB</t>
  </si>
  <si>
    <t>Bourns</t>
  </si>
  <si>
    <t>Wurth Electronics</t>
  </si>
  <si>
    <t>Osram Opto</t>
  </si>
  <si>
    <t>Harwin</t>
  </si>
  <si>
    <t>Stackpole Electronics</t>
  </si>
  <si>
    <t>Microchip</t>
  </si>
  <si>
    <t>Texas Instruments</t>
  </si>
  <si>
    <t>Comment</t>
  </si>
  <si>
    <t>10uF</t>
  </si>
  <si>
    <t>0.1uF</t>
  </si>
  <si>
    <t>0.47uF</t>
  </si>
  <si>
    <t>0.022UF</t>
  </si>
  <si>
    <t>10nF</t>
  </si>
  <si>
    <t>1uF</t>
  </si>
  <si>
    <t>47nF</t>
  </si>
  <si>
    <t>4.7uF</t>
  </si>
  <si>
    <t>150nF</t>
  </si>
  <si>
    <t>2.2nF</t>
  </si>
  <si>
    <t>4.7uH</t>
  </si>
  <si>
    <t>1uH</t>
  </si>
  <si>
    <t>1M</t>
  </si>
  <si>
    <t>20K</t>
  </si>
  <si>
    <t>10K</t>
  </si>
  <si>
    <t>2.21K</t>
  </si>
  <si>
    <t>158R</t>
  </si>
  <si>
    <t>221R</t>
  </si>
  <si>
    <t>1K</t>
  </si>
  <si>
    <t>5.1K</t>
  </si>
  <si>
    <t>196R</t>
  </si>
  <si>
    <t>66.5R</t>
  </si>
  <si>
    <t>Remarks</t>
  </si>
  <si>
    <t>----------</t>
  </si>
  <si>
    <t>Quantity (1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</si>
</sst>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4" borderId="6" xfId="0" quotePrefix="1" applyFont="1" applyFill="1" applyBorder="1" applyAlignment="1">
      <alignment horizontal="center" vertical="center" wrapText="1"/>
    </xf>
    <xf numFmtId="0" fontId="17" fillId="2" borderId="5" xfId="0" quotePrefix="1" applyFont="1" applyFill="1" applyBorder="1" applyAlignment="1">
      <alignment horizontal="center" vertical="center" wrapText="1"/>
    </xf>
    <xf numFmtId="0" fontId="17" fillId="2" borderId="15" xfId="0" quotePrefix="1" applyFont="1" applyFill="1" applyBorder="1" applyAlignment="1">
      <alignment horizontal="center" vertical="center" wrapText="1"/>
    </xf>
    <xf numFmtId="0" fontId="17" fillId="4" borderId="16" xfId="0" quotePrefix="1" applyFont="1" applyFill="1" applyBorder="1" applyAlignment="1">
      <alignment horizontal="center" vertical="center" wrapText="1"/>
    </xf>
    <xf numFmtId="0" fontId="18" fillId="4" borderId="6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2</xdr:row>
      <xdr:rowOff>19942</xdr:rowOff>
    </xdr:from>
    <xdr:to>
      <xdr:col>9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2"/>
  <sheetViews>
    <sheetView tabSelected="1" workbookViewId="0">
      <selection activeCell="E19" sqref="E19"/>
    </sheetView>
  </sheetViews>
  <sheetFormatPr defaultRowHeight="15" x14ac:dyDescent="0.25"/>
  <cols>
    <col min="2" max="2" width="3.140625" style="25" customWidth="1"/>
    <col min="3" max="3" width="36" bestFit="1" customWidth="1"/>
    <col min="4" max="4" width="19.28515625" bestFit="1" customWidth="1"/>
    <col min="5" max="5" width="26.5703125" bestFit="1" customWidth="1"/>
    <col min="6" max="6" width="33.42578125" bestFit="1" customWidth="1"/>
    <col min="7" max="7" width="21.42578125" bestFit="1" customWidth="1"/>
    <col min="8" max="8" width="29.42578125" bestFit="1" customWidth="1"/>
    <col min="9" max="10" width="29.42578125" customWidth="1"/>
  </cols>
  <sheetData>
    <row r="1" spans="1:10" ht="15.75" thickBot="1" x14ac:dyDescent="0.3">
      <c r="A1" s="1"/>
      <c r="B1" s="19"/>
      <c r="C1" s="2"/>
      <c r="D1" s="2"/>
      <c r="E1" s="2"/>
      <c r="F1" s="2"/>
      <c r="G1" s="2"/>
      <c r="H1" s="56"/>
      <c r="I1" s="56"/>
      <c r="J1" s="56"/>
    </row>
    <row r="2" spans="1:10" ht="32.25" thickBot="1" x14ac:dyDescent="0.3">
      <c r="A2" s="1"/>
      <c r="B2" s="20"/>
      <c r="C2" s="10" t="s">
        <v>0</v>
      </c>
      <c r="D2" s="10"/>
      <c r="E2" s="47" t="s">
        <v>7</v>
      </c>
      <c r="F2" s="11"/>
      <c r="G2" s="3"/>
      <c r="H2" s="3"/>
      <c r="I2" s="3"/>
      <c r="J2" s="44"/>
    </row>
    <row r="3" spans="1:10" x14ac:dyDescent="0.25">
      <c r="A3" s="1"/>
      <c r="B3" s="21"/>
      <c r="C3" s="12" t="s">
        <v>1</v>
      </c>
      <c r="D3" s="12"/>
      <c r="E3" s="48" t="s">
        <v>8</v>
      </c>
      <c r="F3" s="12"/>
      <c r="G3" s="4"/>
      <c r="H3" s="4"/>
      <c r="I3" s="4"/>
      <c r="J3" s="57"/>
    </row>
    <row r="4" spans="1:10" x14ac:dyDescent="0.25">
      <c r="A4" s="1"/>
      <c r="B4" s="21"/>
      <c r="C4" s="12" t="s">
        <v>2</v>
      </c>
      <c r="D4" s="12"/>
      <c r="E4" s="49" t="s">
        <v>8</v>
      </c>
      <c r="F4" s="13"/>
      <c r="G4" s="6"/>
      <c r="H4" s="6"/>
      <c r="I4" s="6"/>
      <c r="J4" s="58"/>
    </row>
    <row r="5" spans="1:10" x14ac:dyDescent="0.25">
      <c r="A5" s="1"/>
      <c r="B5" s="21"/>
      <c r="C5" s="12" t="s">
        <v>3</v>
      </c>
      <c r="D5" s="12"/>
      <c r="E5" s="50" t="s">
        <v>9</v>
      </c>
      <c r="F5" s="14"/>
      <c r="G5" s="5"/>
      <c r="H5" s="5"/>
      <c r="I5" s="5"/>
      <c r="J5" s="58"/>
    </row>
    <row r="6" spans="1:10" x14ac:dyDescent="0.25">
      <c r="A6" s="1"/>
      <c r="B6" s="22"/>
      <c r="C6" s="15"/>
      <c r="D6" s="15"/>
      <c r="E6" s="16"/>
      <c r="F6" s="14"/>
      <c r="G6" s="5"/>
      <c r="H6" s="5"/>
      <c r="I6" s="5"/>
      <c r="J6" s="58"/>
    </row>
    <row r="7" spans="1:10" x14ac:dyDescent="0.25">
      <c r="A7" s="1"/>
      <c r="B7" s="23"/>
      <c r="C7" s="17"/>
      <c r="D7" s="17"/>
      <c r="E7" s="18"/>
      <c r="F7" s="17"/>
      <c r="G7" s="7"/>
      <c r="H7" s="7"/>
      <c r="I7" s="7"/>
      <c r="J7" s="58"/>
    </row>
    <row r="8" spans="1:10" ht="15.75" thickBot="1" x14ac:dyDescent="0.3">
      <c r="A8" s="1"/>
      <c r="B8" s="26"/>
      <c r="C8" s="27"/>
      <c r="D8" s="27"/>
      <c r="E8" s="28"/>
      <c r="F8" s="17"/>
      <c r="G8" s="7"/>
      <c r="H8" s="7"/>
      <c r="I8" s="7"/>
      <c r="J8" s="58"/>
    </row>
    <row r="9" spans="1:10" ht="15.75" thickBot="1" x14ac:dyDescent="0.3">
      <c r="A9" s="1"/>
      <c r="B9" s="29" t="s">
        <v>4</v>
      </c>
      <c r="C9" s="29" t="s">
        <v>10</v>
      </c>
      <c r="D9" s="30" t="s">
        <v>42</v>
      </c>
      <c r="E9" s="29" t="s">
        <v>74</v>
      </c>
      <c r="F9" s="30" t="s">
        <v>89</v>
      </c>
      <c r="G9" s="29" t="s">
        <v>117</v>
      </c>
      <c r="H9" s="30" t="s">
        <v>132</v>
      </c>
      <c r="I9" s="29" t="s">
        <v>157</v>
      </c>
      <c r="J9" s="31" t="s">
        <v>155</v>
      </c>
    </row>
    <row r="10" spans="1:10" ht="24.75" thickBot="1" x14ac:dyDescent="0.3">
      <c r="A10" s="1"/>
      <c r="B10" s="32">
        <f>ROW(B10) - ROW($B$9)</f>
        <v>1</v>
      </c>
      <c r="C10" s="38" t="s">
        <v>11</v>
      </c>
      <c r="D10" s="39" t="s">
        <v>43</v>
      </c>
      <c r="E10" s="38" t="s">
        <v>75</v>
      </c>
      <c r="F10" s="39" t="s">
        <v>90</v>
      </c>
      <c r="G10" s="38" t="s">
        <v>118</v>
      </c>
      <c r="H10" s="39" t="s">
        <v>133</v>
      </c>
      <c r="I10" s="38">
        <v>4</v>
      </c>
      <c r="J10" s="42"/>
    </row>
    <row r="11" spans="1:10" ht="24.75" thickBot="1" x14ac:dyDescent="0.3">
      <c r="A11" s="1"/>
      <c r="B11" s="32">
        <f t="shared" ref="B11:B39" si="0">ROW(B11) - ROW($B$9)</f>
        <v>2</v>
      </c>
      <c r="C11" s="40" t="s">
        <v>12</v>
      </c>
      <c r="D11" s="41" t="s">
        <v>44</v>
      </c>
      <c r="E11" s="40" t="s">
        <v>76</v>
      </c>
      <c r="F11" s="41" t="s">
        <v>91</v>
      </c>
      <c r="G11" s="40" t="s">
        <v>119</v>
      </c>
      <c r="H11" s="41" t="s">
        <v>134</v>
      </c>
      <c r="I11" s="40">
        <v>2</v>
      </c>
      <c r="J11" s="43"/>
    </row>
    <row r="12" spans="1:10" ht="24.75" thickBot="1" x14ac:dyDescent="0.3">
      <c r="A12" s="1"/>
      <c r="B12" s="32">
        <f>ROW(B12) - ROW($B$9)</f>
        <v>3</v>
      </c>
      <c r="C12" s="38" t="s">
        <v>13</v>
      </c>
      <c r="D12" s="39" t="s">
        <v>45</v>
      </c>
      <c r="E12" s="38" t="s">
        <v>75</v>
      </c>
      <c r="F12" s="39" t="s">
        <v>92</v>
      </c>
      <c r="G12" s="38" t="s">
        <v>120</v>
      </c>
      <c r="H12" s="39" t="s">
        <v>133</v>
      </c>
      <c r="I12" s="38">
        <v>3</v>
      </c>
      <c r="J12" s="42"/>
    </row>
    <row r="13" spans="1:10" ht="24.75" thickBot="1" x14ac:dyDescent="0.3">
      <c r="A13" s="1"/>
      <c r="B13" s="32">
        <f t="shared" si="0"/>
        <v>4</v>
      </c>
      <c r="C13" s="40" t="s">
        <v>14</v>
      </c>
      <c r="D13" s="41" t="s">
        <v>46</v>
      </c>
      <c r="E13" s="40" t="s">
        <v>76</v>
      </c>
      <c r="F13" s="41" t="s">
        <v>93</v>
      </c>
      <c r="G13" s="40" t="s">
        <v>120</v>
      </c>
      <c r="H13" s="41" t="s">
        <v>135</v>
      </c>
      <c r="I13" s="40">
        <v>2</v>
      </c>
      <c r="J13" s="43"/>
    </row>
    <row r="14" spans="1:10" ht="24.75" thickBot="1" x14ac:dyDescent="0.3">
      <c r="A14" s="1"/>
      <c r="B14" s="32">
        <f>ROW(B14) - ROW($B$9)</f>
        <v>5</v>
      </c>
      <c r="C14" s="38" t="s">
        <v>15</v>
      </c>
      <c r="D14" s="39" t="s">
        <v>47</v>
      </c>
      <c r="E14" s="38" t="s">
        <v>76</v>
      </c>
      <c r="F14" s="39" t="s">
        <v>94</v>
      </c>
      <c r="G14" s="38" t="s">
        <v>119</v>
      </c>
      <c r="H14" s="39" t="s">
        <v>136</v>
      </c>
      <c r="I14" s="38">
        <v>2</v>
      </c>
      <c r="J14" s="42"/>
    </row>
    <row r="15" spans="1:10" ht="24.75" thickBot="1" x14ac:dyDescent="0.3">
      <c r="A15" s="1"/>
      <c r="B15" s="32">
        <f t="shared" si="0"/>
        <v>6</v>
      </c>
      <c r="C15" s="40" t="s">
        <v>16</v>
      </c>
      <c r="D15" s="41" t="s">
        <v>48</v>
      </c>
      <c r="E15" s="40" t="s">
        <v>76</v>
      </c>
      <c r="F15" s="41" t="s">
        <v>95</v>
      </c>
      <c r="G15" s="40" t="s">
        <v>119</v>
      </c>
      <c r="H15" s="41" t="s">
        <v>137</v>
      </c>
      <c r="I15" s="40">
        <v>2</v>
      </c>
      <c r="J15" s="43"/>
    </row>
    <row r="16" spans="1:10" ht="24.75" thickBot="1" x14ac:dyDescent="0.3">
      <c r="A16" s="1"/>
      <c r="B16" s="32">
        <f>ROW(B16) - ROW($B$9)</f>
        <v>7</v>
      </c>
      <c r="C16" s="38" t="s">
        <v>17</v>
      </c>
      <c r="D16" s="39" t="s">
        <v>49</v>
      </c>
      <c r="E16" s="38" t="s">
        <v>75</v>
      </c>
      <c r="F16" s="39" t="s">
        <v>96</v>
      </c>
      <c r="G16" s="38" t="s">
        <v>119</v>
      </c>
      <c r="H16" s="39" t="s">
        <v>138</v>
      </c>
      <c r="I16" s="38">
        <v>2</v>
      </c>
      <c r="J16" s="42"/>
    </row>
    <row r="17" spans="1:10" ht="24.75" thickBot="1" x14ac:dyDescent="0.3">
      <c r="A17" s="1"/>
      <c r="B17" s="32">
        <f t="shared" si="0"/>
        <v>8</v>
      </c>
      <c r="C17" s="40" t="s">
        <v>18</v>
      </c>
      <c r="D17" s="41" t="s">
        <v>50</v>
      </c>
      <c r="E17" s="40" t="s">
        <v>75</v>
      </c>
      <c r="F17" s="41" t="s">
        <v>97</v>
      </c>
      <c r="G17" s="40" t="s">
        <v>121</v>
      </c>
      <c r="H17" s="41" t="s">
        <v>139</v>
      </c>
      <c r="I17" s="40">
        <v>1</v>
      </c>
      <c r="J17" s="43"/>
    </row>
    <row r="18" spans="1:10" ht="24.75" thickBot="1" x14ac:dyDescent="0.3">
      <c r="A18" s="1"/>
      <c r="B18" s="32">
        <f>ROW(B18) - ROW($B$9)</f>
        <v>9</v>
      </c>
      <c r="C18" s="38" t="s">
        <v>19</v>
      </c>
      <c r="D18" s="39" t="s">
        <v>51</v>
      </c>
      <c r="E18" s="38" t="s">
        <v>75</v>
      </c>
      <c r="F18" s="39" t="s">
        <v>98</v>
      </c>
      <c r="G18" s="38" t="s">
        <v>120</v>
      </c>
      <c r="H18" s="39" t="s">
        <v>140</v>
      </c>
      <c r="I18" s="38">
        <v>1</v>
      </c>
      <c r="J18" s="42"/>
    </row>
    <row r="19" spans="1:10" ht="60.75" thickBot="1" x14ac:dyDescent="0.3">
      <c r="A19" s="1"/>
      <c r="B19" s="32">
        <f t="shared" si="0"/>
        <v>10</v>
      </c>
      <c r="C19" s="40" t="s">
        <v>20</v>
      </c>
      <c r="D19" s="41" t="s">
        <v>52</v>
      </c>
      <c r="E19" s="40" t="s">
        <v>77</v>
      </c>
      <c r="F19" s="41" t="s">
        <v>99</v>
      </c>
      <c r="G19" s="40" t="s">
        <v>122</v>
      </c>
      <c r="H19" s="41" t="s">
        <v>141</v>
      </c>
      <c r="I19" s="40">
        <v>1</v>
      </c>
      <c r="J19" s="43"/>
    </row>
    <row r="20" spans="1:10" ht="48.75" thickBot="1" x14ac:dyDescent="0.3">
      <c r="A20" s="1"/>
      <c r="B20" s="32">
        <f>ROW(B20) - ROW($B$9)</f>
        <v>11</v>
      </c>
      <c r="C20" s="38" t="s">
        <v>21</v>
      </c>
      <c r="D20" s="39" t="s">
        <v>53</v>
      </c>
      <c r="E20" s="38" t="s">
        <v>77</v>
      </c>
      <c r="F20" s="39" t="s">
        <v>100</v>
      </c>
      <c r="G20" s="38" t="s">
        <v>122</v>
      </c>
      <c r="H20" s="39" t="s">
        <v>142</v>
      </c>
      <c r="I20" s="38">
        <v>1</v>
      </c>
      <c r="J20" s="42"/>
    </row>
    <row r="21" spans="1:10" ht="24.75" thickBot="1" x14ac:dyDescent="0.3">
      <c r="A21" s="1"/>
      <c r="B21" s="32">
        <f t="shared" si="0"/>
        <v>12</v>
      </c>
      <c r="C21" s="40" t="s">
        <v>22</v>
      </c>
      <c r="D21" s="41" t="s">
        <v>54</v>
      </c>
      <c r="E21" s="40" t="s">
        <v>78</v>
      </c>
      <c r="F21" s="41" t="s">
        <v>101</v>
      </c>
      <c r="G21" s="40" t="s">
        <v>123</v>
      </c>
      <c r="H21" s="51" t="s">
        <v>156</v>
      </c>
      <c r="I21" s="40">
        <v>2</v>
      </c>
      <c r="J21" s="43"/>
    </row>
    <row r="22" spans="1:10" ht="48.75" thickBot="1" x14ac:dyDescent="0.3">
      <c r="A22" s="1"/>
      <c r="B22" s="32">
        <f>ROW(B22) - ROW($B$9)</f>
        <v>13</v>
      </c>
      <c r="C22" s="38" t="s">
        <v>23</v>
      </c>
      <c r="D22" s="39" t="s">
        <v>55</v>
      </c>
      <c r="E22" s="53" t="s">
        <v>156</v>
      </c>
      <c r="F22" s="39" t="s">
        <v>79</v>
      </c>
      <c r="G22" s="38" t="s">
        <v>124</v>
      </c>
      <c r="H22" s="52" t="s">
        <v>156</v>
      </c>
      <c r="I22" s="38">
        <v>1</v>
      </c>
      <c r="J22" s="42"/>
    </row>
    <row r="23" spans="1:10" ht="24.75" thickBot="1" x14ac:dyDescent="0.3">
      <c r="A23" s="1"/>
      <c r="B23" s="32">
        <f t="shared" si="0"/>
        <v>14</v>
      </c>
      <c r="C23" s="40" t="s">
        <v>24</v>
      </c>
      <c r="D23" s="41" t="s">
        <v>56</v>
      </c>
      <c r="E23" s="54" t="s">
        <v>156</v>
      </c>
      <c r="F23" s="41" t="s">
        <v>80</v>
      </c>
      <c r="G23" s="40" t="s">
        <v>125</v>
      </c>
      <c r="H23" s="41" t="s">
        <v>143</v>
      </c>
      <c r="I23" s="40">
        <v>1</v>
      </c>
      <c r="J23" s="43"/>
    </row>
    <row r="24" spans="1:10" ht="24.75" thickBot="1" x14ac:dyDescent="0.3">
      <c r="A24" s="1"/>
      <c r="B24" s="32">
        <f>ROW(B24) - ROW($B$9)</f>
        <v>15</v>
      </c>
      <c r="C24" s="38" t="s">
        <v>25</v>
      </c>
      <c r="D24" s="39" t="s">
        <v>57</v>
      </c>
      <c r="E24" s="53" t="s">
        <v>156</v>
      </c>
      <c r="F24" s="39">
        <v>74404041010</v>
      </c>
      <c r="G24" s="38" t="s">
        <v>126</v>
      </c>
      <c r="H24" s="39" t="s">
        <v>144</v>
      </c>
      <c r="I24" s="38">
        <v>1</v>
      </c>
      <c r="J24" s="42"/>
    </row>
    <row r="25" spans="1:10" ht="24.75" thickBot="1" x14ac:dyDescent="0.3">
      <c r="A25" s="1"/>
      <c r="B25" s="32">
        <f t="shared" si="0"/>
        <v>16</v>
      </c>
      <c r="C25" s="40" t="s">
        <v>26</v>
      </c>
      <c r="D25" s="41" t="s">
        <v>58</v>
      </c>
      <c r="E25" s="40" t="s">
        <v>81</v>
      </c>
      <c r="F25" s="41" t="s">
        <v>102</v>
      </c>
      <c r="G25" s="40" t="s">
        <v>127</v>
      </c>
      <c r="H25" s="51" t="s">
        <v>156</v>
      </c>
      <c r="I25" s="40">
        <v>2</v>
      </c>
      <c r="J25" s="43"/>
    </row>
    <row r="26" spans="1:10" ht="24.75" thickBot="1" x14ac:dyDescent="0.3">
      <c r="A26" s="1"/>
      <c r="B26" s="32">
        <f>ROW(B26) - ROW($B$9)</f>
        <v>17</v>
      </c>
      <c r="C26" s="38" t="s">
        <v>27</v>
      </c>
      <c r="D26" s="39" t="s">
        <v>59</v>
      </c>
      <c r="E26" s="38" t="s">
        <v>82</v>
      </c>
      <c r="F26" s="39">
        <v>61300211121</v>
      </c>
      <c r="G26" s="38" t="s">
        <v>126</v>
      </c>
      <c r="H26" s="52" t="s">
        <v>156</v>
      </c>
      <c r="I26" s="38">
        <v>2</v>
      </c>
      <c r="J26" s="42"/>
    </row>
    <row r="27" spans="1:10" ht="24.75" thickBot="1" x14ac:dyDescent="0.3">
      <c r="A27" s="1"/>
      <c r="B27" s="32">
        <f t="shared" si="0"/>
        <v>18</v>
      </c>
      <c r="C27" s="40" t="s">
        <v>28</v>
      </c>
      <c r="D27" s="41" t="s">
        <v>60</v>
      </c>
      <c r="E27" s="40" t="s">
        <v>83</v>
      </c>
      <c r="F27" s="41" t="s">
        <v>103</v>
      </c>
      <c r="G27" s="40" t="s">
        <v>128</v>
      </c>
      <c r="H27" s="55" t="s">
        <v>156</v>
      </c>
      <c r="I27" s="40">
        <v>2</v>
      </c>
      <c r="J27" s="43"/>
    </row>
    <row r="28" spans="1:10" ht="24.75" thickBot="1" x14ac:dyDescent="0.3">
      <c r="A28" s="1"/>
      <c r="B28" s="32">
        <f>ROW(B28) - ROW($B$9)</f>
        <v>19</v>
      </c>
      <c r="C28" s="38" t="s">
        <v>29</v>
      </c>
      <c r="D28" s="39" t="s">
        <v>61</v>
      </c>
      <c r="E28" s="38" t="s">
        <v>84</v>
      </c>
      <c r="F28" s="39" t="s">
        <v>104</v>
      </c>
      <c r="G28" s="38" t="s">
        <v>121</v>
      </c>
      <c r="H28" s="39" t="s">
        <v>145</v>
      </c>
      <c r="I28" s="38">
        <v>1</v>
      </c>
      <c r="J28" s="42"/>
    </row>
    <row r="29" spans="1:10" ht="24.75" thickBot="1" x14ac:dyDescent="0.3">
      <c r="A29" s="1"/>
      <c r="B29" s="32">
        <f t="shared" si="0"/>
        <v>20</v>
      </c>
      <c r="C29" s="40" t="s">
        <v>30</v>
      </c>
      <c r="D29" s="41" t="s">
        <v>62</v>
      </c>
      <c r="E29" s="40" t="s">
        <v>84</v>
      </c>
      <c r="F29" s="41" t="s">
        <v>105</v>
      </c>
      <c r="G29" s="40" t="s">
        <v>129</v>
      </c>
      <c r="H29" s="41" t="s">
        <v>146</v>
      </c>
      <c r="I29" s="40">
        <v>1</v>
      </c>
      <c r="J29" s="43"/>
    </row>
    <row r="30" spans="1:10" ht="24.75" thickBot="1" x14ac:dyDescent="0.3">
      <c r="A30" s="1"/>
      <c r="B30" s="32">
        <f>ROW(B30) - ROW($B$9)</f>
        <v>21</v>
      </c>
      <c r="C30" s="38" t="s">
        <v>31</v>
      </c>
      <c r="D30" s="39" t="s">
        <v>63</v>
      </c>
      <c r="E30" s="38" t="s">
        <v>84</v>
      </c>
      <c r="F30" s="39" t="s">
        <v>106</v>
      </c>
      <c r="G30" s="38" t="s">
        <v>121</v>
      </c>
      <c r="H30" s="39" t="s">
        <v>147</v>
      </c>
      <c r="I30" s="38">
        <v>7</v>
      </c>
      <c r="J30" s="42"/>
    </row>
    <row r="31" spans="1:10" ht="24.75" thickBot="1" x14ac:dyDescent="0.3">
      <c r="A31" s="1"/>
      <c r="B31" s="32">
        <f t="shared" si="0"/>
        <v>22</v>
      </c>
      <c r="C31" s="40" t="s">
        <v>32</v>
      </c>
      <c r="D31" s="41" t="s">
        <v>64</v>
      </c>
      <c r="E31" s="40" t="s">
        <v>84</v>
      </c>
      <c r="F31" s="41" t="s">
        <v>107</v>
      </c>
      <c r="G31" s="40" t="s">
        <v>121</v>
      </c>
      <c r="H31" s="41" t="s">
        <v>148</v>
      </c>
      <c r="I31" s="40">
        <v>1</v>
      </c>
      <c r="J31" s="43"/>
    </row>
    <row r="32" spans="1:10" ht="24.75" thickBot="1" x14ac:dyDescent="0.3">
      <c r="A32" s="1"/>
      <c r="B32" s="32">
        <f>ROW(B32) - ROW($B$9)</f>
        <v>23</v>
      </c>
      <c r="C32" s="38" t="s">
        <v>33</v>
      </c>
      <c r="D32" s="39" t="s">
        <v>65</v>
      </c>
      <c r="E32" s="38" t="s">
        <v>84</v>
      </c>
      <c r="F32" s="39" t="s">
        <v>108</v>
      </c>
      <c r="G32" s="38" t="s">
        <v>121</v>
      </c>
      <c r="H32" s="39" t="s">
        <v>149</v>
      </c>
      <c r="I32" s="38">
        <v>1</v>
      </c>
      <c r="J32" s="42"/>
    </row>
    <row r="33" spans="1:10" ht="24.75" thickBot="1" x14ac:dyDescent="0.3">
      <c r="A33" s="1"/>
      <c r="B33" s="32">
        <f t="shared" si="0"/>
        <v>24</v>
      </c>
      <c r="C33" s="40" t="s">
        <v>34</v>
      </c>
      <c r="D33" s="41" t="s">
        <v>66</v>
      </c>
      <c r="E33" s="40" t="s">
        <v>84</v>
      </c>
      <c r="F33" s="41" t="s">
        <v>109</v>
      </c>
      <c r="G33" s="40" t="s">
        <v>121</v>
      </c>
      <c r="H33" s="41" t="s">
        <v>150</v>
      </c>
      <c r="I33" s="40">
        <v>1</v>
      </c>
      <c r="J33" s="43"/>
    </row>
    <row r="34" spans="1:10" ht="24.75" thickBot="1" x14ac:dyDescent="0.3">
      <c r="A34" s="1"/>
      <c r="B34" s="32">
        <f>ROW(B34) - ROW($B$9)</f>
        <v>25</v>
      </c>
      <c r="C34" s="38" t="s">
        <v>35</v>
      </c>
      <c r="D34" s="39" t="s">
        <v>67</v>
      </c>
      <c r="E34" s="38" t="s">
        <v>84</v>
      </c>
      <c r="F34" s="39" t="s">
        <v>110</v>
      </c>
      <c r="G34" s="38" t="s">
        <v>121</v>
      </c>
      <c r="H34" s="39" t="s">
        <v>151</v>
      </c>
      <c r="I34" s="38">
        <v>10</v>
      </c>
      <c r="J34" s="42"/>
    </row>
    <row r="35" spans="1:10" ht="24.75" thickBot="1" x14ac:dyDescent="0.3">
      <c r="A35" s="1"/>
      <c r="B35" s="32">
        <f t="shared" si="0"/>
        <v>26</v>
      </c>
      <c r="C35" s="40" t="s">
        <v>36</v>
      </c>
      <c r="D35" s="41" t="s">
        <v>68</v>
      </c>
      <c r="E35" s="40" t="s">
        <v>85</v>
      </c>
      <c r="F35" s="41" t="s">
        <v>111</v>
      </c>
      <c r="G35" s="40" t="s">
        <v>129</v>
      </c>
      <c r="H35" s="41" t="s">
        <v>152</v>
      </c>
      <c r="I35" s="40">
        <v>2</v>
      </c>
      <c r="J35" s="43"/>
    </row>
    <row r="36" spans="1:10" ht="24.75" thickBot="1" x14ac:dyDescent="0.3">
      <c r="A36" s="1"/>
      <c r="B36" s="32">
        <f>ROW(B36) - ROW($B$9)</f>
        <v>27</v>
      </c>
      <c r="C36" s="38" t="s">
        <v>37</v>
      </c>
      <c r="D36" s="39" t="s">
        <v>69</v>
      </c>
      <c r="E36" s="38" t="s">
        <v>84</v>
      </c>
      <c r="F36" s="39" t="s">
        <v>112</v>
      </c>
      <c r="G36" s="38" t="s">
        <v>121</v>
      </c>
      <c r="H36" s="39" t="s">
        <v>153</v>
      </c>
      <c r="I36" s="38">
        <v>1</v>
      </c>
      <c r="J36" s="42"/>
    </row>
    <row r="37" spans="1:10" ht="60.75" thickBot="1" x14ac:dyDescent="0.3">
      <c r="A37" s="1"/>
      <c r="B37" s="32">
        <f t="shared" si="0"/>
        <v>28</v>
      </c>
      <c r="C37" s="40" t="s">
        <v>38</v>
      </c>
      <c r="D37" s="41" t="s">
        <v>70</v>
      </c>
      <c r="E37" s="40" t="s">
        <v>84</v>
      </c>
      <c r="F37" s="41" t="s">
        <v>113</v>
      </c>
      <c r="G37" s="40" t="s">
        <v>122</v>
      </c>
      <c r="H37" s="41" t="s">
        <v>154</v>
      </c>
      <c r="I37" s="40">
        <v>1</v>
      </c>
      <c r="J37" s="43"/>
    </row>
    <row r="38" spans="1:10" ht="24.75" thickBot="1" x14ac:dyDescent="0.3">
      <c r="A38" s="1"/>
      <c r="B38" s="32">
        <f>ROW(B38) - ROW($B$9)</f>
        <v>29</v>
      </c>
      <c r="C38" s="38" t="s">
        <v>39</v>
      </c>
      <c r="D38" s="39" t="s">
        <v>71</v>
      </c>
      <c r="E38" s="38" t="s">
        <v>86</v>
      </c>
      <c r="F38" s="39" t="s">
        <v>114</v>
      </c>
      <c r="G38" s="38" t="s">
        <v>130</v>
      </c>
      <c r="H38" s="52" t="s">
        <v>156</v>
      </c>
      <c r="I38" s="38">
        <v>1</v>
      </c>
      <c r="J38" s="42"/>
    </row>
    <row r="39" spans="1:10" ht="24.75" thickBot="1" x14ac:dyDescent="0.3">
      <c r="A39" s="1"/>
      <c r="B39" s="32">
        <f t="shared" si="0"/>
        <v>30</v>
      </c>
      <c r="C39" s="40" t="s">
        <v>40</v>
      </c>
      <c r="D39" s="41" t="s">
        <v>72</v>
      </c>
      <c r="E39" s="40" t="s">
        <v>87</v>
      </c>
      <c r="F39" s="41" t="s">
        <v>115</v>
      </c>
      <c r="G39" s="40" t="s">
        <v>131</v>
      </c>
      <c r="H39" s="51" t="s">
        <v>156</v>
      </c>
      <c r="I39" s="40">
        <v>1</v>
      </c>
      <c r="J39" s="43"/>
    </row>
    <row r="40" spans="1:10" ht="24.75" thickBot="1" x14ac:dyDescent="0.3">
      <c r="A40" s="1"/>
      <c r="B40" s="32">
        <f>ROW(B40) - ROW($B$9)</f>
        <v>31</v>
      </c>
      <c r="C40" s="38" t="s">
        <v>41</v>
      </c>
      <c r="D40" s="39" t="s">
        <v>73</v>
      </c>
      <c r="E40" s="38" t="s">
        <v>88</v>
      </c>
      <c r="F40" s="39" t="s">
        <v>116</v>
      </c>
      <c r="G40" s="38" t="s">
        <v>131</v>
      </c>
      <c r="H40" s="52" t="s">
        <v>156</v>
      </c>
      <c r="I40" s="38">
        <v>1</v>
      </c>
      <c r="J40" s="42"/>
    </row>
    <row r="41" spans="1:10" x14ac:dyDescent="0.25">
      <c r="A41" s="1"/>
      <c r="B41" s="33"/>
      <c r="C41" s="34" t="s">
        <v>5</v>
      </c>
      <c r="D41" s="35"/>
      <c r="E41" s="36"/>
      <c r="F41" s="37"/>
      <c r="G41" s="36"/>
      <c r="H41" s="37"/>
      <c r="I41" s="37"/>
      <c r="J41" s="45"/>
    </row>
    <row r="42" spans="1:10" ht="15.75" thickBot="1" x14ac:dyDescent="0.3">
      <c r="A42" s="1"/>
      <c r="B42" s="24"/>
      <c r="C42" s="8" t="s">
        <v>6</v>
      </c>
      <c r="D42" s="9"/>
      <c r="E42" s="9"/>
      <c r="F42" s="9"/>
      <c r="G42" s="9"/>
      <c r="H42" s="9"/>
      <c r="I42" s="9"/>
      <c r="J42" s="46"/>
    </row>
  </sheetData>
  <mergeCells count="2">
    <mergeCell ref="H1:J1"/>
    <mergeCell ref="J3:J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2022-07-13T07:54:47Z</dcterms:modified>
</cp:coreProperties>
</file>